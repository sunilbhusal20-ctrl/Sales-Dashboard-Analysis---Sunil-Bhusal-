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350" activeTab="2"/>
  </bookViews>
  <sheets>
    <sheet name="DATA" sheetId="1" r:id="rId1"/>
    <sheet name="AVERAGE" sheetId="3" r:id="rId2"/>
    <sheet name="BATTERY DASHBOARD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4" i="3"/>
  <c r="B4" i="2"/>
  <c r="F4" i="2" s="1"/>
  <c r="C3" i="2"/>
  <c r="D3" i="2"/>
  <c r="E3" i="2"/>
  <c r="F3" i="2"/>
  <c r="G3" i="2"/>
  <c r="H3" i="2"/>
  <c r="I3" i="2"/>
  <c r="J3" i="2"/>
  <c r="B3" i="2"/>
  <c r="D4" i="2" l="1"/>
  <c r="C4" i="2"/>
  <c r="A1" i="2" s="1"/>
  <c r="E4" i="2"/>
  <c r="J4" i="2"/>
  <c r="I4" i="2"/>
  <c r="H4" i="2"/>
  <c r="G4" i="2"/>
  <c r="K4" i="2" l="1"/>
  <c r="Q24" i="2" s="1"/>
</calcChain>
</file>

<file path=xl/sharedStrings.xml><?xml version="1.0" encoding="utf-8"?>
<sst xmlns="http://schemas.openxmlformats.org/spreadsheetml/2006/main" count="88" uniqueCount="56">
  <si>
    <t xml:space="preserve">Sunil Bhusal </t>
  </si>
  <si>
    <t>Aarav</t>
  </si>
  <si>
    <t>Aditya</t>
  </si>
  <si>
    <t>Shidharth</t>
  </si>
  <si>
    <t>Mahendra</t>
  </si>
  <si>
    <t>Shikha Sen</t>
  </si>
  <si>
    <t>vipin</t>
  </si>
  <si>
    <t>Santosh</t>
  </si>
  <si>
    <t>Sameer</t>
  </si>
  <si>
    <t>Bimal</t>
  </si>
  <si>
    <t>Raghav</t>
  </si>
  <si>
    <t>Rohit</t>
  </si>
  <si>
    <t>Mohit</t>
  </si>
  <si>
    <t>Sushil</t>
  </si>
  <si>
    <t>Neerav</t>
  </si>
  <si>
    <t>Prajwal</t>
  </si>
  <si>
    <t>Rakesh</t>
  </si>
  <si>
    <t>Virat</t>
  </si>
  <si>
    <t>EMP-ID</t>
  </si>
  <si>
    <t>EMPLOYE NAME</t>
  </si>
  <si>
    <t>SUNDAY</t>
  </si>
  <si>
    <t>MONDAY</t>
  </si>
  <si>
    <t>TUESDAY</t>
  </si>
  <si>
    <t>WEDNESDAY</t>
  </si>
  <si>
    <t>THURSDAY</t>
  </si>
  <si>
    <t>FRIDAY</t>
  </si>
  <si>
    <t>SATURDAY</t>
  </si>
  <si>
    <t>SB001</t>
  </si>
  <si>
    <t>SB002</t>
  </si>
  <si>
    <t>SB003</t>
  </si>
  <si>
    <t>SB004</t>
  </si>
  <si>
    <t>SB005</t>
  </si>
  <si>
    <t>SB006</t>
  </si>
  <si>
    <t>SB007</t>
  </si>
  <si>
    <t>SB008</t>
  </si>
  <si>
    <t>SB009</t>
  </si>
  <si>
    <t>SB010</t>
  </si>
  <si>
    <t>SB011</t>
  </si>
  <si>
    <t>SB012</t>
  </si>
  <si>
    <t>SB013</t>
  </si>
  <si>
    <t>SB014</t>
  </si>
  <si>
    <t>SB015</t>
  </si>
  <si>
    <t>SB016</t>
  </si>
  <si>
    <t>SB017</t>
  </si>
  <si>
    <t>SB018</t>
  </si>
  <si>
    <t>Rahul</t>
  </si>
  <si>
    <t>Manish</t>
  </si>
  <si>
    <t>SB019</t>
  </si>
  <si>
    <t>SB020</t>
  </si>
  <si>
    <t>AVERAGE</t>
  </si>
  <si>
    <t xml:space="preserve">AVERAGE </t>
  </si>
  <si>
    <t>AVERAGE OF DAILY PRODUCT DELIVERY FOR PERSON WISE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</si>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</sst>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Bahnschrift Condensed"/>
      <family val="2"/>
    </font>
    <font>
      <b/>
      <sz val="24"/>
      <color theme="1" tint="4.9989318521683403E-2"/>
      <name val="Algerian"/>
      <family val="5"/>
    </font>
    <font>
      <b/>
      <sz val="22"/>
      <color theme="1"/>
      <name val="Algerian"/>
      <family val="5"/>
    </font>
  </fonts>
  <fills count="17">
    <fill>
      <patternFill patternType="none"/>
    </fill>
    <fill>
      <patternFill patternType="gray125"/>
    </fill>
    <fill>
      <patternFill patternType="solid">
        <fgColor rgb="FF13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F6C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9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5" fillId="9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16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9" fontId="0" fillId="0" borderId="0" xfId="1" applyFont="1"/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2" fillId="7" borderId="1" xfId="0" applyFont="1" applyFill="1" applyBorder="1"/>
  </cellXfs>
  <cellStyles count="2">
    <cellStyle name="Normal" xfId="0" builtinId="0"/>
    <cellStyle name="Percent" xfId="1" builtinId="5"/>
  </cellStyles>
  <dxfs count="3">
    <dxf>
      <fill>
        <gradientFill degree="90">
          <stop position="0">
            <color rgb="FFD1FBE5"/>
          </stop>
          <stop position="1">
            <color rgb="FF35FB85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4" tint="0.59999389629810485"/>
          </stop>
          <stop position="1">
            <color rgb="FF00B0F0"/>
          </stop>
        </gradientFill>
      </fill>
    </dxf>
  </dxfs>
  <tableStyles count="0" defaultTableStyle="TableStyleMedium2" defaultPivotStyle="PivotStyleLight16"/>
  <colors>
    <mruColors>
      <color rgb="FF92F6C2"/>
      <color rgb="FF6699FF"/>
      <color rgb="FFFF66CC"/>
      <color rgb="FF13FFFF"/>
      <color rgb="FFFF9A89"/>
      <color rgb="FF35FB85"/>
      <color rgb="FFD1FBE5"/>
      <color rgb="FFE0D2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06913879354823"/>
          <c:y val="4.1385020101998092E-2"/>
          <c:w val="0.90286351706036749"/>
          <c:h val="0.5805956547098279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'BATTERY DASHBOARD'!$D$3:$J$3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'BATTERY DASHBOARD'!$D$4:$J$4</c:f>
              <c:numCache>
                <c:formatCode>General</c:formatCode>
                <c:ptCount val="7"/>
                <c:pt idx="0">
                  <c:v>90</c:v>
                </c:pt>
                <c:pt idx="1">
                  <c:v>84</c:v>
                </c:pt>
                <c:pt idx="2">
                  <c:v>76</c:v>
                </c:pt>
                <c:pt idx="3">
                  <c:v>85</c:v>
                </c:pt>
                <c:pt idx="4">
                  <c:v>46</c:v>
                </c:pt>
                <c:pt idx="5">
                  <c:v>58</c:v>
                </c:pt>
                <c:pt idx="6">
                  <c:v>19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8052560"/>
        <c:axId val="310913696"/>
      </c:lineChart>
      <c:catAx>
        <c:axId val="55805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glow rad="101600">
                    <a:schemeClr val="bg1">
                      <a:alpha val="60000"/>
                    </a:schemeClr>
                  </a:glow>
                </a:effectLst>
                <a:latin typeface="Algerian" panose="04020705040A02060702" pitchFamily="82" charset="0"/>
                <a:ea typeface="+mn-ea"/>
                <a:cs typeface="+mn-cs"/>
              </a:defRPr>
            </a:pPr>
            <a:endParaRPr lang="en-US"/>
          </a:p>
        </c:txPr>
        <c:crossAx val="310913696"/>
        <c:crosses val="autoZero"/>
        <c:auto val="1"/>
        <c:lblAlgn val="ctr"/>
        <c:lblOffset val="100"/>
        <c:noMultiLvlLbl val="0"/>
      </c:catAx>
      <c:valAx>
        <c:axId val="3109136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5805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3484015936858"/>
          <c:y val="0.16245370370370371"/>
          <c:w val="0.83228233161502296"/>
          <c:h val="0.580595654709827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'BATTERY DASHBOARD'!$D$3:$J$3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'BATTERY DASHBOARD'!$D$4:$J$4</c:f>
              <c:numCache>
                <c:formatCode>General</c:formatCode>
                <c:ptCount val="7"/>
                <c:pt idx="0">
                  <c:v>90</c:v>
                </c:pt>
                <c:pt idx="1">
                  <c:v>84</c:v>
                </c:pt>
                <c:pt idx="2">
                  <c:v>76</c:v>
                </c:pt>
                <c:pt idx="3">
                  <c:v>85</c:v>
                </c:pt>
                <c:pt idx="4">
                  <c:v>46</c:v>
                </c:pt>
                <c:pt idx="5">
                  <c:v>58</c:v>
                </c:pt>
                <c:pt idx="6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59544408"/>
        <c:axId val="359539704"/>
      </c:barChart>
      <c:catAx>
        <c:axId val="35954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39704"/>
        <c:crosses val="autoZero"/>
        <c:auto val="1"/>
        <c:lblAlgn val="ctr"/>
        <c:lblOffset val="100"/>
        <c:noMultiLvlLbl val="0"/>
      </c:catAx>
      <c:valAx>
        <c:axId val="3595397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4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</c:dPt>
          <c:dPt>
            <c:idx val="6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accent6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</a:schemeClr>
                </a:innerShdw>
              </a:effectLst>
            </c:spPr>
          </c:dPt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'BATTERY DASHBOARD'!$D$3:$J$3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'BATTERY DASHBOARD'!$D$4:$J$4</c:f>
              <c:numCache>
                <c:formatCode>General</c:formatCode>
                <c:ptCount val="7"/>
                <c:pt idx="0">
                  <c:v>90</c:v>
                </c:pt>
                <c:pt idx="1">
                  <c:v>84</c:v>
                </c:pt>
                <c:pt idx="2">
                  <c:v>76</c:v>
                </c:pt>
                <c:pt idx="3">
                  <c:v>85</c:v>
                </c:pt>
                <c:pt idx="4">
                  <c:v>46</c:v>
                </c:pt>
                <c:pt idx="5">
                  <c:v>58</c:v>
                </c:pt>
                <c:pt idx="6">
                  <c:v>19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1996041478421746E-2"/>
          <c:y val="2.7695351137487636E-2"/>
          <c:w val="0.78671829955681771"/>
          <c:h val="0.29211336713474612"/>
        </c:manualLayout>
      </c:layout>
      <c:overlay val="0"/>
      <c:spPr>
        <a:noFill/>
        <a:ln>
          <a:solidFill>
            <a:schemeClr val="tx1">
              <a:lumMod val="75000"/>
              <a:lumOff val="2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05611810617088"/>
          <c:y val="0.10317463541264699"/>
          <c:w val="0.6121169393555006"/>
          <c:h val="0.82142851563195718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flip="none" rotWithShape="1">
              <a:gsLst>
                <a:gs pos="0">
                  <a:srgbClr val="35FB85"/>
                </a:gs>
                <a:gs pos="48000">
                  <a:srgbClr val="D1FBE5"/>
                </a:gs>
                <a:gs pos="100000">
                  <a:srgbClr val="35FB85"/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'BATTERY DASHBOARD'!$Q$24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58626760"/>
        <c:axId val="658627544"/>
      </c:barChart>
      <c:catAx>
        <c:axId val="658626760"/>
        <c:scaling>
          <c:orientation val="minMax"/>
        </c:scaling>
        <c:delete val="1"/>
        <c:axPos val="b"/>
        <c:majorTickMark val="none"/>
        <c:minorTickMark val="none"/>
        <c:tickLblPos val="nextTo"/>
        <c:crossAx val="658627544"/>
        <c:crosses val="autoZero"/>
        <c:auto val="1"/>
        <c:lblAlgn val="ctr"/>
        <c:lblOffset val="100"/>
        <c:noMultiLvlLbl val="0"/>
      </c:catAx>
      <c:valAx>
        <c:axId val="658627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95000"/>
                    <a:lumOff val="5000"/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26760"/>
        <c:crosses val="autoZero"/>
        <c:crossBetween val="between"/>
      </c:valAx>
      <c:spPr>
        <a:gradFill flip="none" rotWithShape="1">
          <a:gsLst>
            <a:gs pos="0">
              <a:srgbClr val="FF9A89"/>
            </a:gs>
            <a:gs pos="74000">
              <a:schemeClr val="accent2">
                <a:lumMod val="45000"/>
                <a:lumOff val="55000"/>
              </a:schemeClr>
            </a:gs>
            <a:gs pos="83000">
              <a:schemeClr val="accent2">
                <a:lumMod val="45000"/>
                <a:lumOff val="55000"/>
              </a:schemeClr>
            </a:gs>
            <a:gs pos="100000">
              <a:schemeClr val="accent2">
                <a:lumMod val="30000"/>
                <a:lumOff val="70000"/>
              </a:schemeClr>
            </a:gs>
          </a:gsLst>
          <a:lin ang="2700000" scaled="1"/>
          <a:tileRect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A$3" max="20" page="10" val="17"/>
</file>

<file path=xl/ctrlProps/ctrlProp2.xml><?xml version="1.0" encoding="utf-8"?>
<formControlPr xmlns="http://schemas.microsoft.com/office/spreadsheetml/2009/9/main" objectType="Spin" dx="22" fmlaLink="$A$3" max="20" page="10" val="17"/>
</file>

<file path=xl/ctrlProps/ctrlProp3.xml><?xml version="1.0" encoding="utf-8"?>
<formControlPr xmlns="http://schemas.microsoft.com/office/spreadsheetml/2009/9/main" objectType="List" dx="22" fmlaLink="$A$3" fmlaRange="DATA!$B$2:$B$21" sel="17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4</xdr:row>
      <xdr:rowOff>9525</xdr:rowOff>
    </xdr:from>
    <xdr:to>
      <xdr:col>6</xdr:col>
      <xdr:colOff>247650</xdr:colOff>
      <xdr:row>20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4</xdr:row>
      <xdr:rowOff>28575</xdr:rowOff>
    </xdr:from>
    <xdr:to>
      <xdr:col>3</xdr:col>
      <xdr:colOff>504825</xdr:colOff>
      <xdr:row>20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257175</xdr:colOff>
      <xdr:row>4</xdr:row>
      <xdr:rowOff>19049</xdr:rowOff>
    </xdr:from>
    <xdr:to>
      <xdr:col>8</xdr:col>
      <xdr:colOff>752475</xdr:colOff>
      <xdr:row>20</xdr:row>
      <xdr:rowOff>180974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9526</xdr:colOff>
          <xdr:row>4</xdr:row>
          <xdr:rowOff>9525</xdr:rowOff>
        </xdr:from>
        <xdr:to>
          <xdr:col>0</xdr:col>
          <xdr:colOff>590550</xdr:colOff>
          <xdr:row>20</xdr:row>
          <xdr:rowOff>180975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19050</xdr:rowOff>
        </xdr:from>
        <xdr:to>
          <xdr:col>12</xdr:col>
          <xdr:colOff>581025</xdr:colOff>
          <xdr:row>4</xdr:row>
          <xdr:rowOff>19050</xdr:rowOff>
        </xdr:to>
        <xdr:sp macro="" textlink="">
          <xdr:nvSpPr>
            <xdr:cNvPr id="2056" name="Spinner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28575</xdr:rowOff>
        </xdr:from>
        <xdr:to>
          <xdr:col>12</xdr:col>
          <xdr:colOff>581024</xdr:colOff>
          <xdr:row>20</xdr:row>
          <xdr:rowOff>190500</xdr:rowOff>
        </xdr:to>
        <xdr:sp macro="" textlink="">
          <xdr:nvSpPr>
            <xdr:cNvPr id="2059" name="List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0</xdr:colOff>
      <xdr:row>4</xdr:row>
      <xdr:rowOff>28575</xdr:rowOff>
    </xdr:from>
    <xdr:to>
      <xdr:col>10</xdr:col>
      <xdr:colOff>742951</xdr:colOff>
      <xdr:row>20</xdr:row>
      <xdr:rowOff>180974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390525</xdr:colOff>
      <xdr:row>19</xdr:row>
      <xdr:rowOff>133351</xdr:rowOff>
    </xdr:from>
    <xdr:to>
      <xdr:col>10</xdr:col>
      <xdr:colOff>638175</xdr:colOff>
      <xdr:row>20</xdr:row>
      <xdr:rowOff>95251</xdr:rowOff>
    </xdr:to>
    <xdr:sp macro="" textlink="">
      <xdr:nvSpPr>
        <xdr:cNvPr id="9" name="Snip Same Side Corner Rectangle 8"/>
        <xdr:cNvSpPr/>
      </xdr:nvSpPr>
      <xdr:spPr>
        <a:xfrm>
          <a:off x="7924800" y="3800476"/>
          <a:ext cx="1009650" cy="152400"/>
        </a:xfrm>
        <a:prstGeom prst="snip2Same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409575</xdr:colOff>
      <xdr:row>5</xdr:row>
      <xdr:rowOff>57150</xdr:rowOff>
    </xdr:from>
    <xdr:to>
      <xdr:col>10</xdr:col>
      <xdr:colOff>657225</xdr:colOff>
      <xdr:row>6</xdr:row>
      <xdr:rowOff>0</xdr:rowOff>
    </xdr:to>
    <xdr:sp macro="" textlink="">
      <xdr:nvSpPr>
        <xdr:cNvPr id="21" name="Snip Same Side Corner Rectangle 20"/>
        <xdr:cNvSpPr/>
      </xdr:nvSpPr>
      <xdr:spPr>
        <a:xfrm>
          <a:off x="7943850" y="1057275"/>
          <a:ext cx="1009650" cy="133350"/>
        </a:xfrm>
        <a:prstGeom prst="snip2Same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</xdr:colOff>
      <xdr:row>4</xdr:row>
      <xdr:rowOff>104775</xdr:rowOff>
    </xdr:from>
    <xdr:to>
      <xdr:col>10</xdr:col>
      <xdr:colOff>276225</xdr:colOff>
      <xdr:row>5</xdr:row>
      <xdr:rowOff>47625</xdr:rowOff>
    </xdr:to>
    <xdr:sp macro="" textlink="">
      <xdr:nvSpPr>
        <xdr:cNvPr id="22" name="Snip Same Side Corner Rectangle 21"/>
        <xdr:cNvSpPr/>
      </xdr:nvSpPr>
      <xdr:spPr>
        <a:xfrm>
          <a:off x="8334375" y="914400"/>
          <a:ext cx="238125" cy="133350"/>
        </a:xfrm>
        <a:prstGeom prst="snip2Same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 tint="-0.249977111117893"/>
  </sheetPr>
  <dimension ref="A1:I21"/>
  <sheetViews>
    <sheetView workbookViewId="0">
      <selection activeCell="K2" sqref="K2"/>
    </sheetView>
  </sheetViews>
  <sheetFormatPr defaultRowHeight="15" x14ac:dyDescent="0.25"/>
  <cols>
    <col min="1" max="1" width="9.7109375" bestFit="1" customWidth="1"/>
    <col min="2" max="2" width="20.28515625" bestFit="1" customWidth="1"/>
    <col min="3" max="3" width="17.28515625" customWidth="1"/>
    <col min="4" max="5" width="12.28515625" bestFit="1" customWidth="1"/>
    <col min="6" max="7" width="16.140625" bestFit="1" customWidth="1"/>
    <col min="8" max="10" width="13.85546875" bestFit="1" customWidth="1"/>
  </cols>
  <sheetData>
    <row r="1" spans="1:9" ht="18.75" x14ac:dyDescent="0.3">
      <c r="A1" s="39" t="s">
        <v>18</v>
      </c>
      <c r="B1" s="39" t="s">
        <v>19</v>
      </c>
      <c r="C1" s="39" t="s">
        <v>20</v>
      </c>
      <c r="D1" s="39" t="s">
        <v>21</v>
      </c>
      <c r="E1" s="39" t="s">
        <v>22</v>
      </c>
      <c r="F1" s="39" t="s">
        <v>23</v>
      </c>
      <c r="G1" s="39" t="s">
        <v>24</v>
      </c>
      <c r="H1" s="39" t="s">
        <v>25</v>
      </c>
      <c r="I1" s="39" t="s">
        <v>26</v>
      </c>
    </row>
    <row r="2" spans="1:9" ht="15.75" x14ac:dyDescent="0.25">
      <c r="A2" s="30" t="s">
        <v>27</v>
      </c>
      <c r="B2" s="31" t="s">
        <v>0</v>
      </c>
      <c r="C2" s="32">
        <v>92</v>
      </c>
      <c r="D2" s="33">
        <v>74</v>
      </c>
      <c r="E2" s="36">
        <v>88</v>
      </c>
      <c r="F2" s="37">
        <v>65</v>
      </c>
      <c r="G2" s="34">
        <v>36</v>
      </c>
      <c r="H2" s="38">
        <v>85</v>
      </c>
      <c r="I2" s="35">
        <v>79</v>
      </c>
    </row>
    <row r="3" spans="1:9" ht="15.75" x14ac:dyDescent="0.25">
      <c r="A3" s="30" t="s">
        <v>28</v>
      </c>
      <c r="B3" s="31" t="s">
        <v>1</v>
      </c>
      <c r="C3" s="32">
        <v>52</v>
      </c>
      <c r="D3" s="33">
        <v>24</v>
      </c>
      <c r="E3" s="36">
        <v>58</v>
      </c>
      <c r="F3" s="37">
        <v>42</v>
      </c>
      <c r="G3" s="34">
        <v>11</v>
      </c>
      <c r="H3" s="38">
        <v>94</v>
      </c>
      <c r="I3" s="35">
        <v>42</v>
      </c>
    </row>
    <row r="4" spans="1:9" ht="15.75" x14ac:dyDescent="0.25">
      <c r="A4" s="30" t="s">
        <v>29</v>
      </c>
      <c r="B4" s="31" t="s">
        <v>2</v>
      </c>
      <c r="C4" s="32">
        <v>97</v>
      </c>
      <c r="D4" s="33">
        <v>54</v>
      </c>
      <c r="E4" s="36">
        <v>43</v>
      </c>
      <c r="F4" s="37">
        <v>45</v>
      </c>
      <c r="G4" s="34">
        <v>51</v>
      </c>
      <c r="H4" s="38">
        <v>71</v>
      </c>
      <c r="I4" s="35">
        <v>95</v>
      </c>
    </row>
    <row r="5" spans="1:9" ht="15.75" x14ac:dyDescent="0.25">
      <c r="A5" s="30" t="s">
        <v>30</v>
      </c>
      <c r="B5" s="31" t="s">
        <v>3</v>
      </c>
      <c r="C5" s="32">
        <v>15</v>
      </c>
      <c r="D5" s="33">
        <v>68</v>
      </c>
      <c r="E5" s="36">
        <v>28</v>
      </c>
      <c r="F5" s="37">
        <v>16</v>
      </c>
      <c r="G5" s="34">
        <v>16</v>
      </c>
      <c r="H5" s="38">
        <v>86</v>
      </c>
      <c r="I5" s="35">
        <v>36</v>
      </c>
    </row>
    <row r="6" spans="1:9" ht="15.75" x14ac:dyDescent="0.25">
      <c r="A6" s="30" t="s">
        <v>31</v>
      </c>
      <c r="B6" s="31" t="s">
        <v>4</v>
      </c>
      <c r="C6" s="32">
        <v>40</v>
      </c>
      <c r="D6" s="33">
        <v>92</v>
      </c>
      <c r="E6" s="36">
        <v>46</v>
      </c>
      <c r="F6" s="37">
        <v>23</v>
      </c>
      <c r="G6" s="34">
        <v>36</v>
      </c>
      <c r="H6" s="38">
        <v>80</v>
      </c>
      <c r="I6" s="35">
        <v>77</v>
      </c>
    </row>
    <row r="7" spans="1:9" ht="15.75" x14ac:dyDescent="0.25">
      <c r="A7" s="30" t="s">
        <v>32</v>
      </c>
      <c r="B7" s="31" t="s">
        <v>5</v>
      </c>
      <c r="C7" s="32">
        <v>46</v>
      </c>
      <c r="D7" s="33">
        <v>21</v>
      </c>
      <c r="E7" s="36">
        <v>74</v>
      </c>
      <c r="F7" s="37">
        <v>37</v>
      </c>
      <c r="G7" s="34">
        <v>63</v>
      </c>
      <c r="H7" s="38">
        <v>58</v>
      </c>
      <c r="I7" s="35">
        <v>42</v>
      </c>
    </row>
    <row r="8" spans="1:9" ht="15.75" x14ac:dyDescent="0.25">
      <c r="A8" s="30" t="s">
        <v>33</v>
      </c>
      <c r="B8" s="31" t="s">
        <v>6</v>
      </c>
      <c r="C8" s="32">
        <v>85</v>
      </c>
      <c r="D8" s="33">
        <v>53</v>
      </c>
      <c r="E8" s="36">
        <v>53</v>
      </c>
      <c r="F8" s="37">
        <v>30</v>
      </c>
      <c r="G8" s="34">
        <v>80</v>
      </c>
      <c r="H8" s="38">
        <v>69</v>
      </c>
      <c r="I8" s="35">
        <v>20</v>
      </c>
    </row>
    <row r="9" spans="1:9" ht="15.75" x14ac:dyDescent="0.25">
      <c r="A9" s="30" t="s">
        <v>34</v>
      </c>
      <c r="B9" s="31" t="s">
        <v>7</v>
      </c>
      <c r="C9" s="32">
        <v>63</v>
      </c>
      <c r="D9" s="33">
        <v>82</v>
      </c>
      <c r="E9" s="36">
        <v>85</v>
      </c>
      <c r="F9" s="37">
        <v>23</v>
      </c>
      <c r="G9" s="34">
        <v>91</v>
      </c>
      <c r="H9" s="38">
        <v>35</v>
      </c>
      <c r="I9" s="35">
        <v>63</v>
      </c>
    </row>
    <row r="10" spans="1:9" ht="15.75" x14ac:dyDescent="0.25">
      <c r="A10" s="30" t="s">
        <v>35</v>
      </c>
      <c r="B10" s="31" t="s">
        <v>8</v>
      </c>
      <c r="C10" s="32">
        <v>82</v>
      </c>
      <c r="D10" s="33">
        <v>39</v>
      </c>
      <c r="E10" s="36">
        <v>79</v>
      </c>
      <c r="F10" s="37">
        <v>88</v>
      </c>
      <c r="G10" s="34">
        <v>77</v>
      </c>
      <c r="H10" s="38">
        <v>71</v>
      </c>
      <c r="I10" s="35">
        <v>53</v>
      </c>
    </row>
    <row r="11" spans="1:9" ht="15.75" x14ac:dyDescent="0.25">
      <c r="A11" s="30" t="s">
        <v>36</v>
      </c>
      <c r="B11" s="31" t="s">
        <v>9</v>
      </c>
      <c r="C11" s="32">
        <v>90</v>
      </c>
      <c r="D11" s="33">
        <v>27</v>
      </c>
      <c r="E11" s="36">
        <v>87</v>
      </c>
      <c r="F11" s="37">
        <v>59</v>
      </c>
      <c r="G11" s="34">
        <v>35</v>
      </c>
      <c r="H11" s="38">
        <v>92</v>
      </c>
      <c r="I11" s="35">
        <v>15</v>
      </c>
    </row>
    <row r="12" spans="1:9" ht="15.75" x14ac:dyDescent="0.25">
      <c r="A12" s="30" t="s">
        <v>37</v>
      </c>
      <c r="B12" s="31" t="s">
        <v>10</v>
      </c>
      <c r="C12" s="32">
        <v>26</v>
      </c>
      <c r="D12" s="33">
        <v>53</v>
      </c>
      <c r="E12" s="36">
        <v>99</v>
      </c>
      <c r="F12" s="37">
        <v>22</v>
      </c>
      <c r="G12" s="34">
        <v>27</v>
      </c>
      <c r="H12" s="38">
        <v>38</v>
      </c>
      <c r="I12" s="35">
        <v>82</v>
      </c>
    </row>
    <row r="13" spans="1:9" ht="15.75" x14ac:dyDescent="0.25">
      <c r="A13" s="30" t="s">
        <v>38</v>
      </c>
      <c r="B13" s="31" t="s">
        <v>11</v>
      </c>
      <c r="C13" s="32">
        <v>61</v>
      </c>
      <c r="D13" s="33">
        <v>57</v>
      </c>
      <c r="E13" s="36">
        <v>53</v>
      </c>
      <c r="F13" s="37">
        <v>48</v>
      </c>
      <c r="G13" s="34">
        <v>33</v>
      </c>
      <c r="H13" s="38">
        <v>69</v>
      </c>
      <c r="I13" s="35">
        <v>27</v>
      </c>
    </row>
    <row r="14" spans="1:9" ht="15.75" x14ac:dyDescent="0.25">
      <c r="A14" s="30" t="s">
        <v>39</v>
      </c>
      <c r="B14" s="31" t="s">
        <v>12</v>
      </c>
      <c r="C14" s="32">
        <v>33</v>
      </c>
      <c r="D14" s="33">
        <v>88</v>
      </c>
      <c r="E14" s="36">
        <v>17</v>
      </c>
      <c r="F14" s="37">
        <v>61</v>
      </c>
      <c r="G14" s="34">
        <v>31</v>
      </c>
      <c r="H14" s="38">
        <v>68</v>
      </c>
      <c r="I14" s="35">
        <v>15</v>
      </c>
    </row>
    <row r="15" spans="1:9" ht="15.75" x14ac:dyDescent="0.25">
      <c r="A15" s="30" t="s">
        <v>40</v>
      </c>
      <c r="B15" s="31" t="s">
        <v>13</v>
      </c>
      <c r="C15" s="32">
        <v>30</v>
      </c>
      <c r="D15" s="33">
        <v>50</v>
      </c>
      <c r="E15" s="36">
        <v>89</v>
      </c>
      <c r="F15" s="37">
        <v>49</v>
      </c>
      <c r="G15" s="34">
        <v>49</v>
      </c>
      <c r="H15" s="38">
        <v>92</v>
      </c>
      <c r="I15" s="35">
        <v>88</v>
      </c>
    </row>
    <row r="16" spans="1:9" ht="15.75" x14ac:dyDescent="0.25">
      <c r="A16" s="30" t="s">
        <v>41</v>
      </c>
      <c r="B16" s="31" t="s">
        <v>14</v>
      </c>
      <c r="C16" s="32">
        <v>86</v>
      </c>
      <c r="D16" s="33">
        <v>96</v>
      </c>
      <c r="E16" s="36">
        <v>49</v>
      </c>
      <c r="F16" s="37">
        <v>48</v>
      </c>
      <c r="G16" s="34">
        <v>97</v>
      </c>
      <c r="H16" s="38">
        <v>77</v>
      </c>
      <c r="I16" s="35">
        <v>51</v>
      </c>
    </row>
    <row r="17" spans="1:9" ht="15.75" x14ac:dyDescent="0.25">
      <c r="A17" s="30" t="s">
        <v>42</v>
      </c>
      <c r="B17" s="31" t="s">
        <v>15</v>
      </c>
      <c r="C17" s="32">
        <v>83</v>
      </c>
      <c r="D17" s="33">
        <v>77</v>
      </c>
      <c r="E17" s="36">
        <v>73</v>
      </c>
      <c r="F17" s="37">
        <v>66</v>
      </c>
      <c r="G17" s="34">
        <v>88</v>
      </c>
      <c r="H17" s="38">
        <v>90</v>
      </c>
      <c r="I17" s="35">
        <v>22</v>
      </c>
    </row>
    <row r="18" spans="1:9" ht="15.75" x14ac:dyDescent="0.25">
      <c r="A18" s="30" t="s">
        <v>43</v>
      </c>
      <c r="B18" s="31" t="s">
        <v>16</v>
      </c>
      <c r="C18" s="32">
        <v>90</v>
      </c>
      <c r="D18" s="33">
        <v>84</v>
      </c>
      <c r="E18" s="36">
        <v>76</v>
      </c>
      <c r="F18" s="37">
        <v>85</v>
      </c>
      <c r="G18" s="34">
        <v>46</v>
      </c>
      <c r="H18" s="38">
        <v>58</v>
      </c>
      <c r="I18" s="35">
        <v>19</v>
      </c>
    </row>
    <row r="19" spans="1:9" ht="15.75" x14ac:dyDescent="0.25">
      <c r="A19" s="30" t="s">
        <v>44</v>
      </c>
      <c r="B19" s="31" t="s">
        <v>17</v>
      </c>
      <c r="C19" s="32">
        <v>95</v>
      </c>
      <c r="D19" s="33">
        <v>50</v>
      </c>
      <c r="E19" s="36">
        <v>30</v>
      </c>
      <c r="F19" s="37">
        <v>40</v>
      </c>
      <c r="G19" s="34">
        <v>44</v>
      </c>
      <c r="H19" s="38">
        <v>45</v>
      </c>
      <c r="I19" s="35">
        <v>55</v>
      </c>
    </row>
    <row r="20" spans="1:9" ht="15.75" x14ac:dyDescent="0.25">
      <c r="A20" s="30" t="s">
        <v>47</v>
      </c>
      <c r="B20" s="31" t="s">
        <v>45</v>
      </c>
      <c r="C20" s="32">
        <v>89</v>
      </c>
      <c r="D20" s="33">
        <v>29</v>
      </c>
      <c r="E20" s="36">
        <v>16</v>
      </c>
      <c r="F20" s="37">
        <v>46</v>
      </c>
      <c r="G20" s="34">
        <v>51</v>
      </c>
      <c r="H20" s="38">
        <v>35</v>
      </c>
      <c r="I20" s="35">
        <v>68</v>
      </c>
    </row>
    <row r="21" spans="1:9" ht="15.75" x14ac:dyDescent="0.25">
      <c r="A21" s="30" t="s">
        <v>48</v>
      </c>
      <c r="B21" s="31" t="s">
        <v>46</v>
      </c>
      <c r="C21" s="32">
        <v>19</v>
      </c>
      <c r="D21" s="33">
        <v>67</v>
      </c>
      <c r="E21" s="36">
        <v>64</v>
      </c>
      <c r="F21" s="37">
        <v>32</v>
      </c>
      <c r="G21" s="34">
        <v>34</v>
      </c>
      <c r="H21" s="38">
        <v>25</v>
      </c>
      <c r="I21" s="35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F0"/>
  </sheetPr>
  <dimension ref="A1:I23"/>
  <sheetViews>
    <sheetView workbookViewId="0">
      <selection activeCell="J10" sqref="J10"/>
    </sheetView>
  </sheetViews>
  <sheetFormatPr defaultRowHeight="15" x14ac:dyDescent="0.25"/>
  <cols>
    <col min="1" max="2" width="20.28515625" bestFit="1" customWidth="1"/>
    <col min="3" max="3" width="17.28515625" customWidth="1"/>
    <col min="4" max="4" width="12.28515625" bestFit="1" customWidth="1"/>
    <col min="5" max="7" width="16.140625" bestFit="1" customWidth="1"/>
    <col min="8" max="10" width="13.85546875" bestFit="1" customWidth="1"/>
  </cols>
  <sheetData>
    <row r="1" spans="1:9" x14ac:dyDescent="0.25">
      <c r="B1" s="24" t="s">
        <v>51</v>
      </c>
      <c r="C1" s="25"/>
      <c r="D1" s="25"/>
      <c r="E1" s="25"/>
      <c r="F1" s="25"/>
      <c r="G1" s="25"/>
      <c r="H1" s="25"/>
      <c r="I1" s="26"/>
    </row>
    <row r="2" spans="1:9" ht="15.75" thickBot="1" x14ac:dyDescent="0.3">
      <c r="B2" s="27"/>
      <c r="C2" s="28"/>
      <c r="D2" s="28"/>
      <c r="E2" s="28"/>
      <c r="F2" s="28"/>
      <c r="G2" s="28"/>
      <c r="H2" s="28"/>
      <c r="I2" s="29"/>
    </row>
    <row r="3" spans="1:9" ht="18.75" x14ac:dyDescent="0.3">
      <c r="A3" s="1" t="s">
        <v>19</v>
      </c>
      <c r="B3" s="15" t="s">
        <v>20</v>
      </c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41" t="s">
        <v>50</v>
      </c>
    </row>
    <row r="4" spans="1:9" ht="15.75" x14ac:dyDescent="0.25">
      <c r="A4" s="30" t="s">
        <v>0</v>
      </c>
      <c r="B4" s="30">
        <v>92</v>
      </c>
      <c r="C4" s="30">
        <v>74</v>
      </c>
      <c r="D4" s="31">
        <v>88</v>
      </c>
      <c r="E4" s="31">
        <v>65</v>
      </c>
      <c r="F4" s="31">
        <v>36</v>
      </c>
      <c r="G4" s="40">
        <v>85</v>
      </c>
      <c r="H4" s="40">
        <v>79</v>
      </c>
      <c r="I4" s="42">
        <f>ROUND(AVERAGE(B4:H4),)</f>
        <v>74</v>
      </c>
    </row>
    <row r="5" spans="1:9" ht="15.75" x14ac:dyDescent="0.25">
      <c r="A5" s="30" t="s">
        <v>1</v>
      </c>
      <c r="B5" s="30">
        <v>52</v>
      </c>
      <c r="C5" s="30">
        <v>24</v>
      </c>
      <c r="D5" s="31">
        <v>58</v>
      </c>
      <c r="E5" s="31">
        <v>42</v>
      </c>
      <c r="F5" s="31">
        <v>11</v>
      </c>
      <c r="G5" s="40">
        <v>94</v>
      </c>
      <c r="H5" s="40">
        <v>42</v>
      </c>
      <c r="I5" s="42">
        <f t="shared" ref="I5:I23" si="0">ROUND(AVERAGE(B5:H5),)</f>
        <v>46</v>
      </c>
    </row>
    <row r="6" spans="1:9" ht="15.75" x14ac:dyDescent="0.25">
      <c r="A6" s="30" t="s">
        <v>2</v>
      </c>
      <c r="B6" s="30">
        <v>97</v>
      </c>
      <c r="C6" s="30">
        <v>54</v>
      </c>
      <c r="D6" s="31">
        <v>43</v>
      </c>
      <c r="E6" s="31">
        <v>45</v>
      </c>
      <c r="F6" s="31">
        <v>51</v>
      </c>
      <c r="G6" s="40">
        <v>71</v>
      </c>
      <c r="H6" s="40">
        <v>95</v>
      </c>
      <c r="I6" s="42">
        <f t="shared" si="0"/>
        <v>65</v>
      </c>
    </row>
    <row r="7" spans="1:9" ht="15.75" x14ac:dyDescent="0.25">
      <c r="A7" s="30" t="s">
        <v>3</v>
      </c>
      <c r="B7" s="30">
        <v>15</v>
      </c>
      <c r="C7" s="30">
        <v>68</v>
      </c>
      <c r="D7" s="31">
        <v>28</v>
      </c>
      <c r="E7" s="31">
        <v>16</v>
      </c>
      <c r="F7" s="31">
        <v>16</v>
      </c>
      <c r="G7" s="40">
        <v>86</v>
      </c>
      <c r="H7" s="40">
        <v>36</v>
      </c>
      <c r="I7" s="42">
        <f t="shared" si="0"/>
        <v>38</v>
      </c>
    </row>
    <row r="8" spans="1:9" ht="15.75" x14ac:dyDescent="0.25">
      <c r="A8" s="30" t="s">
        <v>4</v>
      </c>
      <c r="B8" s="30">
        <v>40</v>
      </c>
      <c r="C8" s="30">
        <v>92</v>
      </c>
      <c r="D8" s="31">
        <v>46</v>
      </c>
      <c r="E8" s="31">
        <v>23</v>
      </c>
      <c r="F8" s="31">
        <v>36</v>
      </c>
      <c r="G8" s="40">
        <v>80</v>
      </c>
      <c r="H8" s="40">
        <v>77</v>
      </c>
      <c r="I8" s="42">
        <f t="shared" si="0"/>
        <v>56</v>
      </c>
    </row>
    <row r="9" spans="1:9" ht="15.75" x14ac:dyDescent="0.25">
      <c r="A9" s="30" t="s">
        <v>5</v>
      </c>
      <c r="B9" s="30">
        <v>46</v>
      </c>
      <c r="C9" s="30">
        <v>21</v>
      </c>
      <c r="D9" s="31">
        <v>74</v>
      </c>
      <c r="E9" s="31">
        <v>37</v>
      </c>
      <c r="F9" s="31">
        <v>63</v>
      </c>
      <c r="G9" s="40">
        <v>58</v>
      </c>
      <c r="H9" s="40">
        <v>42</v>
      </c>
      <c r="I9" s="42">
        <f t="shared" si="0"/>
        <v>49</v>
      </c>
    </row>
    <row r="10" spans="1:9" ht="15.75" x14ac:dyDescent="0.25">
      <c r="A10" s="30" t="s">
        <v>6</v>
      </c>
      <c r="B10" s="30">
        <v>85</v>
      </c>
      <c r="C10" s="30">
        <v>53</v>
      </c>
      <c r="D10" s="31">
        <v>53</v>
      </c>
      <c r="E10" s="31">
        <v>30</v>
      </c>
      <c r="F10" s="31">
        <v>80</v>
      </c>
      <c r="G10" s="40">
        <v>69</v>
      </c>
      <c r="H10" s="40">
        <v>20</v>
      </c>
      <c r="I10" s="42">
        <f t="shared" si="0"/>
        <v>56</v>
      </c>
    </row>
    <row r="11" spans="1:9" ht="15.75" x14ac:dyDescent="0.25">
      <c r="A11" s="30" t="s">
        <v>7</v>
      </c>
      <c r="B11" s="30">
        <v>63</v>
      </c>
      <c r="C11" s="30">
        <v>82</v>
      </c>
      <c r="D11" s="31">
        <v>85</v>
      </c>
      <c r="E11" s="31">
        <v>23</v>
      </c>
      <c r="F11" s="31">
        <v>91</v>
      </c>
      <c r="G11" s="40">
        <v>35</v>
      </c>
      <c r="H11" s="40">
        <v>63</v>
      </c>
      <c r="I11" s="42">
        <f t="shared" si="0"/>
        <v>63</v>
      </c>
    </row>
    <row r="12" spans="1:9" ht="15.75" x14ac:dyDescent="0.25">
      <c r="A12" s="30" t="s">
        <v>8</v>
      </c>
      <c r="B12" s="30">
        <v>82</v>
      </c>
      <c r="C12" s="30">
        <v>39</v>
      </c>
      <c r="D12" s="31">
        <v>79</v>
      </c>
      <c r="E12" s="31">
        <v>88</v>
      </c>
      <c r="F12" s="31">
        <v>77</v>
      </c>
      <c r="G12" s="40">
        <v>71</v>
      </c>
      <c r="H12" s="40">
        <v>53</v>
      </c>
      <c r="I12" s="42">
        <f t="shared" si="0"/>
        <v>70</v>
      </c>
    </row>
    <row r="13" spans="1:9" ht="15.75" x14ac:dyDescent="0.25">
      <c r="A13" s="30" t="s">
        <v>9</v>
      </c>
      <c r="B13" s="30">
        <v>90</v>
      </c>
      <c r="C13" s="30">
        <v>27</v>
      </c>
      <c r="D13" s="31">
        <v>87</v>
      </c>
      <c r="E13" s="31">
        <v>59</v>
      </c>
      <c r="F13" s="31">
        <v>35</v>
      </c>
      <c r="G13" s="40">
        <v>92</v>
      </c>
      <c r="H13" s="40">
        <v>15</v>
      </c>
      <c r="I13" s="42">
        <f t="shared" si="0"/>
        <v>58</v>
      </c>
    </row>
    <row r="14" spans="1:9" ht="15.75" x14ac:dyDescent="0.25">
      <c r="A14" s="30" t="s">
        <v>10</v>
      </c>
      <c r="B14" s="30">
        <v>26</v>
      </c>
      <c r="C14" s="30">
        <v>53</v>
      </c>
      <c r="D14" s="31">
        <v>99</v>
      </c>
      <c r="E14" s="31">
        <v>22</v>
      </c>
      <c r="F14" s="31">
        <v>27</v>
      </c>
      <c r="G14" s="40">
        <v>38</v>
      </c>
      <c r="H14" s="40">
        <v>82</v>
      </c>
      <c r="I14" s="42">
        <f t="shared" si="0"/>
        <v>50</v>
      </c>
    </row>
    <row r="15" spans="1:9" ht="15.75" x14ac:dyDescent="0.25">
      <c r="A15" s="30" t="s">
        <v>11</v>
      </c>
      <c r="B15" s="30">
        <v>61</v>
      </c>
      <c r="C15" s="30">
        <v>57</v>
      </c>
      <c r="D15" s="31">
        <v>53</v>
      </c>
      <c r="E15" s="31">
        <v>48</v>
      </c>
      <c r="F15" s="31">
        <v>33</v>
      </c>
      <c r="G15" s="40">
        <v>69</v>
      </c>
      <c r="H15" s="40">
        <v>27</v>
      </c>
      <c r="I15" s="42">
        <f t="shared" si="0"/>
        <v>50</v>
      </c>
    </row>
    <row r="16" spans="1:9" ht="15.75" x14ac:dyDescent="0.25">
      <c r="A16" s="30" t="s">
        <v>12</v>
      </c>
      <c r="B16" s="30">
        <v>33</v>
      </c>
      <c r="C16" s="30">
        <v>88</v>
      </c>
      <c r="D16" s="31">
        <v>17</v>
      </c>
      <c r="E16" s="31">
        <v>61</v>
      </c>
      <c r="F16" s="31">
        <v>31</v>
      </c>
      <c r="G16" s="40">
        <v>68</v>
      </c>
      <c r="H16" s="40">
        <v>15</v>
      </c>
      <c r="I16" s="42">
        <f t="shared" si="0"/>
        <v>45</v>
      </c>
    </row>
    <row r="17" spans="1:9" ht="15.75" x14ac:dyDescent="0.25">
      <c r="A17" s="30" t="s">
        <v>13</v>
      </c>
      <c r="B17" s="30">
        <v>30</v>
      </c>
      <c r="C17" s="30">
        <v>50</v>
      </c>
      <c r="D17" s="31">
        <v>89</v>
      </c>
      <c r="E17" s="31">
        <v>49</v>
      </c>
      <c r="F17" s="31">
        <v>49</v>
      </c>
      <c r="G17" s="40">
        <v>92</v>
      </c>
      <c r="H17" s="40">
        <v>88</v>
      </c>
      <c r="I17" s="42">
        <f t="shared" si="0"/>
        <v>64</v>
      </c>
    </row>
    <row r="18" spans="1:9" ht="15.75" x14ac:dyDescent="0.25">
      <c r="A18" s="30" t="s">
        <v>14</v>
      </c>
      <c r="B18" s="30">
        <v>86</v>
      </c>
      <c r="C18" s="30">
        <v>96</v>
      </c>
      <c r="D18" s="31">
        <v>49</v>
      </c>
      <c r="E18" s="31">
        <v>48</v>
      </c>
      <c r="F18" s="31">
        <v>97</v>
      </c>
      <c r="G18" s="40">
        <v>77</v>
      </c>
      <c r="H18" s="40">
        <v>51</v>
      </c>
      <c r="I18" s="42">
        <f t="shared" si="0"/>
        <v>72</v>
      </c>
    </row>
    <row r="19" spans="1:9" ht="15.75" x14ac:dyDescent="0.25">
      <c r="A19" s="30" t="s">
        <v>15</v>
      </c>
      <c r="B19" s="30">
        <v>83</v>
      </c>
      <c r="C19" s="30">
        <v>77</v>
      </c>
      <c r="D19" s="31">
        <v>73</v>
      </c>
      <c r="E19" s="31">
        <v>66</v>
      </c>
      <c r="F19" s="31">
        <v>88</v>
      </c>
      <c r="G19" s="40">
        <v>90</v>
      </c>
      <c r="H19" s="40">
        <v>22</v>
      </c>
      <c r="I19" s="42">
        <f t="shared" si="0"/>
        <v>71</v>
      </c>
    </row>
    <row r="20" spans="1:9" ht="15.75" x14ac:dyDescent="0.25">
      <c r="A20" s="30" t="s">
        <v>16</v>
      </c>
      <c r="B20" s="30">
        <v>90</v>
      </c>
      <c r="C20" s="30">
        <v>84</v>
      </c>
      <c r="D20" s="31">
        <v>76</v>
      </c>
      <c r="E20" s="31">
        <v>85</v>
      </c>
      <c r="F20" s="31">
        <v>46</v>
      </c>
      <c r="G20" s="40">
        <v>58</v>
      </c>
      <c r="H20" s="40">
        <v>19</v>
      </c>
      <c r="I20" s="42">
        <f t="shared" si="0"/>
        <v>65</v>
      </c>
    </row>
    <row r="21" spans="1:9" ht="15.75" x14ac:dyDescent="0.25">
      <c r="A21" s="30" t="s">
        <v>17</v>
      </c>
      <c r="B21" s="30">
        <v>95</v>
      </c>
      <c r="C21" s="30">
        <v>50</v>
      </c>
      <c r="D21" s="31">
        <v>30</v>
      </c>
      <c r="E21" s="31">
        <v>40</v>
      </c>
      <c r="F21" s="31">
        <v>44</v>
      </c>
      <c r="G21" s="40">
        <v>45</v>
      </c>
      <c r="H21" s="40">
        <v>55</v>
      </c>
      <c r="I21" s="42">
        <f t="shared" si="0"/>
        <v>51</v>
      </c>
    </row>
    <row r="22" spans="1:9" ht="15.75" x14ac:dyDescent="0.25">
      <c r="A22" s="30" t="s">
        <v>45</v>
      </c>
      <c r="B22" s="30">
        <v>89</v>
      </c>
      <c r="C22" s="30">
        <v>29</v>
      </c>
      <c r="D22" s="31">
        <v>16</v>
      </c>
      <c r="E22" s="31">
        <v>46</v>
      </c>
      <c r="F22" s="31">
        <v>51</v>
      </c>
      <c r="G22" s="40">
        <v>35</v>
      </c>
      <c r="H22" s="40">
        <v>68</v>
      </c>
      <c r="I22" s="42">
        <f t="shared" si="0"/>
        <v>48</v>
      </c>
    </row>
    <row r="23" spans="1:9" ht="15.75" x14ac:dyDescent="0.25">
      <c r="A23" s="30" t="s">
        <v>46</v>
      </c>
      <c r="B23" s="30">
        <v>19</v>
      </c>
      <c r="C23" s="30">
        <v>67</v>
      </c>
      <c r="D23" s="31">
        <v>64</v>
      </c>
      <c r="E23" s="31">
        <v>32</v>
      </c>
      <c r="F23" s="31">
        <v>34</v>
      </c>
      <c r="G23" s="40">
        <v>25</v>
      </c>
      <c r="H23" s="40">
        <v>97</v>
      </c>
      <c r="I23" s="42">
        <f t="shared" si="0"/>
        <v>48</v>
      </c>
    </row>
  </sheetData>
  <mergeCells count="1">
    <mergeCell ref="B1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</sheetPr>
  <dimension ref="A1:Q24"/>
  <sheetViews>
    <sheetView tabSelected="1" zoomScaleNormal="100" workbookViewId="0">
      <selection activeCell="O12" sqref="O12"/>
    </sheetView>
  </sheetViews>
  <sheetFormatPr defaultRowHeight="15" x14ac:dyDescent="0.25"/>
  <cols>
    <col min="3" max="3" width="18.28515625" customWidth="1"/>
    <col min="4" max="4" width="17.28515625" bestFit="1" customWidth="1"/>
    <col min="5" max="6" width="10.140625" bestFit="1" customWidth="1"/>
    <col min="7" max="8" width="13.7109375" bestFit="1" customWidth="1"/>
    <col min="9" max="11" width="11.42578125" bestFit="1" customWidth="1"/>
  </cols>
  <sheetData>
    <row r="1" spans="1:16" ht="15" customHeight="1" x14ac:dyDescent="0.25">
      <c r="A1" s="19" t="str">
        <f>"DAILY PRODUCT DELIVERY REPORT WISE DASHBOARD OF " &amp; UPPER(C4)</f>
        <v>DAILY PRODUCT DELIVERY REPORT WISE DASHBOARD OF RAKESH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"/>
      <c r="O1" s="2"/>
    </row>
    <row r="2" spans="1:16" ht="15.75" customHeight="1" thickBot="1" x14ac:dyDescent="0.3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"/>
      <c r="O2" s="2"/>
    </row>
    <row r="3" spans="1:16" ht="18" x14ac:dyDescent="0.25">
      <c r="A3" s="5">
        <v>17</v>
      </c>
      <c r="B3" s="6" t="str">
        <f>DATA!A1</f>
        <v>EMP-ID</v>
      </c>
      <c r="C3" s="6" t="str">
        <f>DATA!B1</f>
        <v>EMPLOYE NAME</v>
      </c>
      <c r="D3" s="6" t="str">
        <f>DATA!C1</f>
        <v>SUNDAY</v>
      </c>
      <c r="E3" s="6" t="str">
        <f>DATA!D1</f>
        <v>MONDAY</v>
      </c>
      <c r="F3" s="6" t="str">
        <f>DATA!E1</f>
        <v>TUESDAY</v>
      </c>
      <c r="G3" s="6" t="str">
        <f>DATA!F1</f>
        <v>WEDNESDAY</v>
      </c>
      <c r="H3" s="6" t="str">
        <f>DATA!G1</f>
        <v>THURSDAY</v>
      </c>
      <c r="I3" s="6" t="str">
        <f>DATA!H1</f>
        <v>FRIDAY</v>
      </c>
      <c r="J3" s="6" t="str">
        <f>DATA!I1</f>
        <v>SATURDAY</v>
      </c>
      <c r="K3" s="6" t="s">
        <v>49</v>
      </c>
      <c r="L3" s="7"/>
      <c r="M3" s="8"/>
      <c r="N3" s="2"/>
      <c r="O3" s="2"/>
      <c r="P3" s="2"/>
    </row>
    <row r="4" spans="1:16" x14ac:dyDescent="0.25">
      <c r="A4" s="9"/>
      <c r="B4" s="3" t="str">
        <f>INDEX(DATA!A2:A21,A3,1)</f>
        <v>SB017</v>
      </c>
      <c r="C4" s="3" t="str">
        <f>VLOOKUP($B$4,DATA!$A$1:$I$21,COLUMN(B1),0)</f>
        <v>Rakesh</v>
      </c>
      <c r="D4" s="3">
        <f>VLOOKUP($B$4,DATA!$A$1:$I$21,COLUMN(C1),0)</f>
        <v>90</v>
      </c>
      <c r="E4" s="3">
        <f>VLOOKUP($B$4,DATA!$A$1:$I$21,COLUMN(D1),0)</f>
        <v>84</v>
      </c>
      <c r="F4" s="3">
        <f>VLOOKUP($B$4,DATA!$A$1:$I$21,COLUMN(E1),0)</f>
        <v>76</v>
      </c>
      <c r="G4" s="3">
        <f>VLOOKUP($B$4,DATA!$A$1:$I$21,COLUMN(F1),0)</f>
        <v>85</v>
      </c>
      <c r="H4" s="3">
        <f>VLOOKUP($B$4,DATA!$A$1:$I$21,COLUMN(G1),0)</f>
        <v>46</v>
      </c>
      <c r="I4" s="3">
        <f>VLOOKUP($B$4,DATA!$A$1:$I$21,COLUMN(H1),0)</f>
        <v>58</v>
      </c>
      <c r="J4" s="3">
        <f>VLOOKUP($B$4,DATA!$A$1:$I$21,COLUMN(I1),0)</f>
        <v>19</v>
      </c>
      <c r="K4" s="4">
        <f>ROUND(AVERAGE(D4:J4),)</f>
        <v>65</v>
      </c>
      <c r="L4" s="2"/>
      <c r="M4" s="10"/>
      <c r="N4" s="2"/>
      <c r="O4" s="2"/>
      <c r="P4" s="2"/>
    </row>
    <row r="5" spans="1:16" x14ac:dyDescent="0.25">
      <c r="A5" s="11"/>
      <c r="B5" s="16"/>
      <c r="C5" s="16"/>
      <c r="D5" s="16"/>
      <c r="E5" s="16"/>
      <c r="F5" s="16"/>
      <c r="G5" s="16"/>
      <c r="H5" s="16"/>
      <c r="I5" s="16"/>
      <c r="J5" s="16"/>
      <c r="K5" s="16"/>
      <c r="L5" s="2"/>
      <c r="M5" s="10"/>
      <c r="N5" s="2"/>
      <c r="O5" s="2"/>
      <c r="P5" s="2"/>
    </row>
    <row r="6" spans="1:16" x14ac:dyDescent="0.25">
      <c r="A6" s="11"/>
      <c r="B6" s="17"/>
      <c r="C6" s="17"/>
      <c r="D6" s="17"/>
      <c r="E6" s="17"/>
      <c r="F6" s="17"/>
      <c r="G6" s="17"/>
      <c r="H6" s="17"/>
      <c r="I6" s="17"/>
      <c r="J6" s="17"/>
      <c r="K6" s="17"/>
      <c r="L6" s="2"/>
      <c r="M6" s="10"/>
      <c r="N6" s="2"/>
      <c r="O6" s="2"/>
      <c r="P6" s="2"/>
    </row>
    <row r="7" spans="1:16" x14ac:dyDescent="0.25">
      <c r="A7" s="11"/>
      <c r="B7" s="17"/>
      <c r="C7" s="17"/>
      <c r="D7" s="17"/>
      <c r="E7" s="17"/>
      <c r="F7" s="17"/>
      <c r="G7" s="17"/>
      <c r="H7" s="17"/>
      <c r="I7" s="17"/>
      <c r="J7" s="17"/>
      <c r="K7" s="17"/>
      <c r="L7" s="2"/>
      <c r="M7" s="10"/>
      <c r="N7" s="2"/>
      <c r="O7" s="2"/>
      <c r="P7" s="2"/>
    </row>
    <row r="8" spans="1:16" x14ac:dyDescent="0.25">
      <c r="A8" s="11"/>
      <c r="B8" s="17"/>
      <c r="C8" s="17"/>
      <c r="D8" s="17"/>
      <c r="E8" s="17"/>
      <c r="F8" s="17"/>
      <c r="G8" s="17"/>
      <c r="H8" s="17"/>
      <c r="I8" s="17"/>
      <c r="J8" s="17"/>
      <c r="K8" s="17"/>
      <c r="L8" s="2"/>
      <c r="M8" s="10"/>
      <c r="N8" s="2"/>
      <c r="O8" s="2"/>
      <c r="P8" s="2"/>
    </row>
    <row r="9" spans="1:16" x14ac:dyDescent="0.25">
      <c r="A9" s="11"/>
      <c r="B9" s="17"/>
      <c r="C9" s="17"/>
      <c r="D9" s="17"/>
      <c r="E9" s="17"/>
      <c r="F9" s="17"/>
      <c r="G9" s="17"/>
      <c r="H9" s="17"/>
      <c r="I9" s="17"/>
      <c r="J9" s="17"/>
      <c r="K9" s="17"/>
      <c r="L9" s="2"/>
      <c r="M9" s="10"/>
      <c r="N9" s="2"/>
      <c r="O9" s="2"/>
      <c r="P9" s="2"/>
    </row>
    <row r="10" spans="1:16" x14ac:dyDescent="0.25">
      <c r="A10" s="11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2"/>
      <c r="M10" s="10"/>
      <c r="N10" s="2"/>
      <c r="O10" s="2"/>
      <c r="P10" s="2"/>
    </row>
    <row r="11" spans="1:16" x14ac:dyDescent="0.25">
      <c r="A11" s="11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"/>
      <c r="M11" s="10"/>
      <c r="N11" s="2"/>
      <c r="O11" s="2"/>
      <c r="P11" s="2"/>
    </row>
    <row r="12" spans="1:16" x14ac:dyDescent="0.25">
      <c r="A12" s="1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2"/>
      <c r="M12" s="10"/>
      <c r="N12" s="2"/>
      <c r="O12" s="2"/>
      <c r="P12" s="2"/>
    </row>
    <row r="13" spans="1:16" x14ac:dyDescent="0.25">
      <c r="A13" s="1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2"/>
      <c r="M13" s="10"/>
      <c r="N13" s="2"/>
      <c r="O13" s="2"/>
      <c r="P13" s="2"/>
    </row>
    <row r="14" spans="1:16" x14ac:dyDescent="0.25">
      <c r="A14" s="11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2"/>
      <c r="M14" s="10"/>
      <c r="N14" s="2"/>
      <c r="O14" s="2"/>
      <c r="P14" s="2"/>
    </row>
    <row r="15" spans="1:16" x14ac:dyDescent="0.25">
      <c r="A15" s="1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2"/>
      <c r="M15" s="10"/>
      <c r="N15" s="2"/>
      <c r="O15" s="2"/>
      <c r="P15" s="2"/>
    </row>
    <row r="16" spans="1:16" x14ac:dyDescent="0.25">
      <c r="A16" s="11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2"/>
      <c r="M16" s="10"/>
      <c r="N16" s="2"/>
      <c r="O16" s="2"/>
      <c r="P16" s="2"/>
    </row>
    <row r="17" spans="1:17" x14ac:dyDescent="0.25">
      <c r="A17" s="11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2"/>
      <c r="M17" s="10"/>
      <c r="N17" s="2"/>
      <c r="O17" s="2"/>
      <c r="P17" s="2"/>
    </row>
    <row r="18" spans="1:17" x14ac:dyDescent="0.25">
      <c r="A18" s="1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2"/>
      <c r="M18" s="10"/>
      <c r="N18" s="2"/>
      <c r="O18" s="2"/>
      <c r="P18" s="2"/>
    </row>
    <row r="19" spans="1:17" x14ac:dyDescent="0.25">
      <c r="A19" s="1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2"/>
      <c r="M19" s="10"/>
      <c r="N19" s="2"/>
      <c r="O19" s="2"/>
      <c r="P19" s="2"/>
    </row>
    <row r="20" spans="1:17" x14ac:dyDescent="0.25">
      <c r="A20" s="11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2"/>
      <c r="M20" s="10"/>
      <c r="N20" s="2"/>
      <c r="O20" s="2"/>
      <c r="P20" s="2"/>
    </row>
    <row r="21" spans="1:17" ht="15.75" thickBot="1" x14ac:dyDescent="0.3">
      <c r="A21" s="1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3"/>
      <c r="M21" s="14"/>
      <c r="N21" s="2"/>
      <c r="O21" s="2"/>
      <c r="P21" s="2"/>
    </row>
    <row r="22" spans="1:17" x14ac:dyDescent="0.25">
      <c r="N22" s="2"/>
    </row>
    <row r="24" spans="1:17" x14ac:dyDescent="0.25">
      <c r="Q24" s="23">
        <f>K4/100</f>
        <v>0.65</v>
      </c>
    </row>
  </sheetData>
  <mergeCells count="3">
    <mergeCell ref="A3:A4"/>
    <mergeCell ref="A1:M2"/>
    <mergeCell ref="B5:K21"/>
  </mergeCells>
  <conditionalFormatting sqref="B5">
    <cfRule type="expression" dxfId="2" priority="1" stopIfTrue="1">
      <formula>AND($K$4&gt;=50,$K$4&lt;=70)</formula>
    </cfRule>
    <cfRule type="expression" dxfId="1" priority="2" stopIfTrue="1">
      <formula>$K$4&lt;50</formula>
    </cfRule>
    <cfRule type="expression" dxfId="0" priority="3" stopIfTrue="1">
      <formula>$K$4&gt;70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Spinner 2">
              <controlPr defaultSize="0" autoPict="0">
                <anchor moveWithCells="1" sizeWithCells="1">
                  <from>
                    <xdr:col>0</xdr:col>
                    <xdr:colOff>9525</xdr:colOff>
                    <xdr:row>4</xdr:row>
                    <xdr:rowOff>9525</xdr:rowOff>
                  </from>
                  <to>
                    <xdr:col>0</xdr:col>
                    <xdr:colOff>590550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4" name="Spinner 8">
              <controlPr defaultSize="0" autoPict="0">
                <anchor moveWithCells="1" sizeWithCells="1">
                  <from>
                    <xdr:col>11</xdr:col>
                    <xdr:colOff>9525</xdr:colOff>
                    <xdr:row>2</xdr:row>
                    <xdr:rowOff>19050</xdr:rowOff>
                  </from>
                  <to>
                    <xdr:col>12</xdr:col>
                    <xdr:colOff>581025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5" name="List Box 11">
              <controlPr defaultSize="0" autoLine="0" autoPict="0">
                <anchor moveWithCells="1">
                  <from>
                    <xdr:col>11</xdr:col>
                    <xdr:colOff>0</xdr:colOff>
                    <xdr:row>4</xdr:row>
                    <xdr:rowOff>28575</xdr:rowOff>
                  </from>
                  <to>
                    <xdr:col>12</xdr:col>
                    <xdr:colOff>581025</xdr:colOff>
                    <xdr:row>20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AVERAGE</vt:lpstr>
      <vt:lpstr>BATTERY 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</cp:lastModifiedBy>
  <dcterms:created xsi:type="dcterms:W3CDTF">2025-09-23T16:41:15Z</dcterms:created>
  <dcterms:modified xsi:type="dcterms:W3CDTF">2025-09-23T20:47:30Z</dcterms:modified>
</cp:coreProperties>
</file>